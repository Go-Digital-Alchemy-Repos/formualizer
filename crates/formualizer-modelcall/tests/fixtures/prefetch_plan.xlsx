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" sheetId="1" state="visible" r:id="rId1"/>
    <sheet name="My 'Inputs'" sheetId="2" state="visible" r:id="rId2"/>
    <sheet name="Data" sheetId="3" state="visible" r:id="rId3"/>
  </sheets>
  <definedNames>
    <definedName name="Xinput_Rate">Data!$B$2</definedName>
    <definedName name="Xsolve_Goal">Calc!$H$1:$I$5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J5"/>
  <sheetViews>
    <sheetView workbookViewId="0">
      <selection activeCell="A1" sqref="A1"/>
    </sheetView>
  </sheetViews>
  <sheetFormatPr baseColWidth="8" defaultRowHeight="15"/>
  <sheetData>
    <row r="2">
      <c r="C2">
        <f>_xldudf_CS_SPARK_XCALL("Folder/Svc", $A$1:$B$4, "Premium", "Term", 10, "Rate", 'My ''Inputs'''!B5)</f>
        <v/>
      </c>
      <c r="D2">
        <f>CS.SPARK.XCALL("Folder/Svc", A1:B4, "Value", "Age", D1, "Band", 1)</f>
        <v/>
      </c>
      <c r="E2">
        <f>_xldudf_CS_SPARK_XCALL("Folder/Svc", A1:B4, "Other", "Term", 1)</f>
        <v/>
      </c>
      <c r="F2">
        <f>_xldudf_CS_SPARK_XCALL(A9, A1:B4, "Premium")</f>
        <v/>
      </c>
      <c r="G2">
        <f>IF(X1&gt;0, _xldudf_CS_SPARK_XCALL( "Other/Svc" , 0 , "Out" , "Term" , -5 , "Flag", 'My ''Inputs'''!B8 ), 0)</f>
        <v/>
      </c>
      <c r="J2">
        <f>_xldudf_CS_SPARK_XCALL("Extra/Svc", 0, "Out", "Tier", 'My ''Inputs'''!B7)</f>
        <v/>
      </c>
    </row>
    <row r="3">
      <c r="C3">
        <f>_xldudf_CS_SPARK_XCALL("Folder/Svc", $A$1:$B$4, "Premium", "Term", 20, "Rate", 'My ''Inputs'''!B5)</f>
        <v/>
      </c>
      <c r="D3">
        <f>CS.SPARK.XCALL("Folder/Svc", A1:B4, "Value", "Age", D1, "Band", 2)</f>
        <v/>
      </c>
      <c r="E3">
        <f>_xldudf_CS_SPARK_XCALL("Folder/Svc", A5:B8, "Other", "Term", 2)</f>
        <v/>
      </c>
      <c r="F3">
        <f>_xldudf_CS_SPARK_XCALL("Lonely/Svc", 0, "Out")</f>
        <v/>
      </c>
      <c r="G3">
        <f>IF(X1&gt;0, _xldudf_CS_SPARK_XCALL("Other/Svc", 0, "Out", "Term", 5.5, "Flag", FALSE), 0)</f>
        <v/>
      </c>
      <c r="J3">
        <f>_xldudf_CS_SPARK_XCALL("Extra/Svc", 0, "Out", "Tier", "Silver", "Smoker", TRUE)</f>
        <v/>
      </c>
    </row>
    <row r="4">
      <c r="C4">
        <f>_xldudf_CS_SPARK_XCALL("Folder/Svc", $A$1:$B$4, "Premium", "Term", 30, "Rate", 0.06, "Plan", "Gold")</f>
        <v/>
      </c>
      <c r="D4">
        <f>CS.SPARK.XCALL("Folder/Svc", A1:B4, "Value", "Age", 45, "Band", 'My ''Inputs'''!B6)</f>
        <v/>
      </c>
      <c r="G4">
        <f>_xldudf_CS_SPARK_XCALL("Other/Svc", 0, "Out", "Term", Data!B2, "Flag", TRUE)</f>
        <v/>
      </c>
      <c r="J4">
        <f>_xldudf_CS_SPARK_XCALL("Extra/Svc", 0, "Out")</f>
        <v/>
      </c>
    </row>
    <row r="5">
      <c r="G5">
        <f>_xldudf_CS_SPARK_XCALL("Other/Svc", 0, "Out", "Term", Data!B2, "Flag", FALSE, "Note", "x""y")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5:B9"/>
  <sheetViews>
    <sheetView workbookViewId="0">
      <selection activeCell="A1" sqref="A1"/>
    </sheetView>
  </sheetViews>
  <sheetFormatPr baseColWidth="8" defaultRowHeight="15"/>
  <sheetData>
    <row r="5">
      <c r="B5" t="n">
        <v>0.05</v>
      </c>
    </row>
    <row r="6">
      <c r="B6" t="n">
        <v>7</v>
      </c>
    </row>
    <row r="7">
      <c r="B7" t="inlineStr">
        <is>
          <t>Gold</t>
        </is>
      </c>
    </row>
    <row r="8">
      <c r="B8" t="b">
        <v>1</v>
      </c>
    </row>
    <row r="9">
      <c r="B9">
        <f>1+1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2026-09-28T16:16:57Z</dcterms:created>
  <dcterms:modified xsi:type="dcterms:W3CDTF">2026-09-28T16:16:57Z</dcterms:modified>
</cp:coreProperties>
</file>